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-vl\OneDrive\Рабочий стол\Практика\"/>
    </mc:Choice>
  </mc:AlternateContent>
  <xr:revisionPtr revIDLastSave="0" documentId="13_ncr:1_{11CE0D13-2D0E-4606-B586-957BA4802E4D}" xr6:coauthVersionLast="47" xr6:coauthVersionMax="47" xr10:uidLastSave="{00000000-0000-0000-0000-000000000000}"/>
  <bookViews>
    <workbookView xWindow="-108" yWindow="-108" windowWidth="23256" windowHeight="12576" xr2:uid="{5E00BD53-07A6-43C8-808A-630E01BC95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" l="1"/>
  <c r="G51" i="1"/>
  <c r="F55" i="1" s="1"/>
  <c r="E51" i="1"/>
  <c r="E55" i="1" s="1"/>
  <c r="G40" i="1"/>
  <c r="C40" i="1"/>
</calcChain>
</file>

<file path=xl/sharedStrings.xml><?xml version="1.0" encoding="utf-8"?>
<sst xmlns="http://schemas.openxmlformats.org/spreadsheetml/2006/main" count="253" uniqueCount="69">
  <si>
    <t>Параметры модификации (seed = 030203)</t>
  </si>
  <si>
    <t>Exp 1</t>
  </si>
  <si>
    <t>self.dropout</t>
  </si>
  <si>
    <t>self.num_epoch</t>
  </si>
  <si>
    <t>self.batch_size</t>
  </si>
  <si>
    <t>self.jitter_ratio</t>
  </si>
  <si>
    <t>self.max_seg</t>
  </si>
  <si>
    <t>self.temperature</t>
  </si>
  <si>
    <t>self.lr</t>
  </si>
  <si>
    <t>self.jitter_scale_ratio</t>
  </si>
  <si>
    <t>self.use_cosine_similarity</t>
  </si>
  <si>
    <t>self.hidden_dim</t>
  </si>
  <si>
    <t>self.timesteps</t>
  </si>
  <si>
    <t>0.35</t>
  </si>
  <si>
    <t>"3e-4"</t>
  </si>
  <si>
    <t>0.001</t>
  </si>
  <si>
    <t>0.2</t>
  </si>
  <si>
    <t>True</t>
  </si>
  <si>
    <t>Exp 2</t>
  </si>
  <si>
    <t>0.5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</si>
  <si>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</si>
  <si>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</si>
  <si>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</si>
  <si>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</si>
  <si>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</si>
  <si>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</si>
  <si>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</si>
  <si>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</si>
  <si>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</si>
  <si>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</si>
  <si>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</si>
  <si>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</si>
  <si>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</si>
  <si>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</si>
  <si>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</si>
  <si>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</si>
  <si>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</si>
  <si>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</si>
  <si>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False</t>
  </si>
  <si>
    <t>Test Accuracy</t>
  </si>
  <si>
    <t>1 F1-Score</t>
  </si>
  <si>
    <t>0 F1-Score</t>
  </si>
  <si>
    <t>Avg F1-Score</t>
  </si>
  <si>
    <t>0.1</t>
  </si>
  <si>
    <t>0.005</t>
  </si>
  <si>
    <t>0.05</t>
  </si>
  <si>
    <t>"1e-4"</t>
  </si>
  <si>
    <t>"1e-3"</t>
  </si>
  <si>
    <t>Exp 21</t>
  </si>
  <si>
    <t>Exp 22</t>
  </si>
  <si>
    <t>supervised</t>
  </si>
  <si>
    <t>train_linear</t>
  </si>
  <si>
    <t>Exp 23</t>
  </si>
  <si>
    <t>Exp 24</t>
  </si>
  <si>
    <t>Exp 25</t>
  </si>
  <si>
    <t>Среднее</t>
  </si>
  <si>
    <t>fine_tune</t>
  </si>
  <si>
    <t>Exp 26</t>
  </si>
  <si>
    <t>Exp 27</t>
  </si>
  <si>
    <t>| train_linear | self.num_epoch = 60</t>
  </si>
  <si>
    <t>| fine_tune | self.hidden_dim = 128</t>
  </si>
  <si>
    <t>Повтор опыта</t>
  </si>
  <si>
    <t>Оригинальное значение</t>
  </si>
  <si>
    <t>Результаты повтора</t>
  </si>
  <si>
    <t>Разница</t>
  </si>
  <si>
    <t>MF1</t>
  </si>
  <si>
    <t>Acc</t>
  </si>
  <si>
    <t>Accuracy</t>
  </si>
  <si>
    <t>| fine_tune| Гиперпараметры из статьи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</si>
</sst>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9C5700"/>
      <name val="Calibri"/>
      <family val="2"/>
      <charset val="204"/>
      <scheme val="minor"/>
    </font>
    <font>
      <sz val="12"/>
      <color rgb="FF9C57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01">
    <xf numFmtId="0" fontId="0" fillId="0" borderId="0" xfId="0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1" fontId="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164" fontId="3" fillId="0" borderId="9" xfId="0" applyNumberFormat="1" applyFont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5" fillId="2" borderId="4" xfId="1" applyNumberFormat="1" applyFont="1" applyBorder="1" applyAlignment="1">
      <alignment horizontal="left"/>
    </xf>
    <xf numFmtId="164" fontId="5" fillId="2" borderId="5" xfId="1" applyNumberFormat="1" applyFont="1" applyBorder="1" applyAlignment="1">
      <alignment horizontal="left"/>
    </xf>
    <xf numFmtId="164" fontId="5" fillId="2" borderId="1" xfId="1" applyNumberFormat="1" applyFont="1" applyBorder="1" applyAlignment="1">
      <alignment horizontal="left"/>
    </xf>
    <xf numFmtId="164" fontId="5" fillId="2" borderId="7" xfId="1" applyNumberFormat="1" applyFont="1" applyBorder="1" applyAlignment="1">
      <alignment horizontal="left"/>
    </xf>
    <xf numFmtId="164" fontId="5" fillId="2" borderId="9" xfId="1" applyNumberFormat="1" applyFont="1" applyBorder="1" applyAlignment="1">
      <alignment horizontal="left"/>
    </xf>
    <xf numFmtId="164" fontId="5" fillId="2" borderId="10" xfId="1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/>
    <xf numFmtId="11" fontId="3" fillId="0" borderId="0" xfId="0" applyNumberFormat="1" applyFont="1" applyBorder="1" applyAlignment="1">
      <alignment horizontal="left"/>
    </xf>
    <xf numFmtId="164" fontId="5" fillId="2" borderId="15" xfId="1" applyNumberFormat="1" applyFont="1" applyBorder="1" applyAlignment="1">
      <alignment horizontal="left"/>
    </xf>
    <xf numFmtId="164" fontId="5" fillId="2" borderId="14" xfId="1" applyNumberFormat="1" applyFont="1" applyBorder="1" applyAlignment="1">
      <alignment horizontal="left"/>
    </xf>
    <xf numFmtId="164" fontId="5" fillId="2" borderId="16" xfId="1" applyNumberFormat="1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left"/>
    </xf>
    <xf numFmtId="0" fontId="2" fillId="0" borderId="22" xfId="0" applyFont="1" applyFill="1" applyBorder="1" applyAlignment="1">
      <alignment horizontal="left" vertical="center"/>
    </xf>
    <xf numFmtId="164" fontId="5" fillId="2" borderId="2" xfId="1" applyNumberFormat="1" applyFont="1" applyBorder="1" applyAlignment="1">
      <alignment horizontal="left"/>
    </xf>
    <xf numFmtId="164" fontId="5" fillId="2" borderId="23" xfId="1" applyNumberFormat="1" applyFont="1" applyBorder="1" applyAlignment="1">
      <alignment horizontal="left"/>
    </xf>
    <xf numFmtId="0" fontId="2" fillId="0" borderId="3" xfId="0" applyFont="1" applyFill="1" applyBorder="1" applyAlignment="1">
      <alignment horizontal="left" vertical="center"/>
    </xf>
    <xf numFmtId="0" fontId="3" fillId="0" borderId="12" xfId="0" applyFont="1" applyBorder="1"/>
    <xf numFmtId="0" fontId="3" fillId="0" borderId="11" xfId="0" applyFont="1" applyBorder="1"/>
    <xf numFmtId="0" fontId="3" fillId="0" borderId="13" xfId="0" applyFont="1" applyBorder="1"/>
    <xf numFmtId="164" fontId="3" fillId="0" borderId="4" xfId="0" applyNumberFormat="1" applyFont="1" applyBorder="1"/>
    <xf numFmtId="164" fontId="5" fillId="2" borderId="4" xfId="1" applyNumberFormat="1" applyFont="1" applyBorder="1"/>
    <xf numFmtId="164" fontId="5" fillId="2" borderId="15" xfId="1" applyNumberFormat="1" applyFont="1" applyBorder="1"/>
    <xf numFmtId="164" fontId="3" fillId="0" borderId="1" xfId="0" applyNumberFormat="1" applyFont="1" applyBorder="1"/>
    <xf numFmtId="164" fontId="5" fillId="2" borderId="1" xfId="1" applyNumberFormat="1" applyFont="1" applyBorder="1"/>
    <xf numFmtId="164" fontId="5" fillId="2" borderId="14" xfId="1" applyNumberFormat="1" applyFont="1" applyBorder="1"/>
    <xf numFmtId="164" fontId="3" fillId="0" borderId="9" xfId="0" applyNumberFormat="1" applyFont="1" applyBorder="1"/>
    <xf numFmtId="164" fontId="5" fillId="2" borderId="9" xfId="1" applyNumberFormat="1" applyFont="1" applyBorder="1"/>
    <xf numFmtId="164" fontId="5" fillId="2" borderId="16" xfId="1" applyNumberFormat="1" applyFont="1" applyBorder="1"/>
    <xf numFmtId="0" fontId="3" fillId="0" borderId="1" xfId="0" applyFont="1" applyFill="1" applyBorder="1" applyAlignment="1">
      <alignment horizontal="left"/>
    </xf>
    <xf numFmtId="0" fontId="3" fillId="0" borderId="24" xfId="0" applyFont="1" applyBorder="1"/>
    <xf numFmtId="0" fontId="5" fillId="2" borderId="3" xfId="1" applyFont="1" applyBorder="1"/>
    <xf numFmtId="0" fontId="5" fillId="2" borderId="5" xfId="1" applyFont="1" applyBorder="1"/>
    <xf numFmtId="0" fontId="3" fillId="0" borderId="19" xfId="0" applyFont="1" applyBorder="1"/>
    <xf numFmtId="0" fontId="3" fillId="0" borderId="25" xfId="0" applyFont="1" applyBorder="1"/>
    <xf numFmtId="0" fontId="5" fillId="2" borderId="6" xfId="1" applyFont="1" applyBorder="1"/>
    <xf numFmtId="0" fontId="5" fillId="2" borderId="7" xfId="1" applyFont="1" applyBorder="1"/>
    <xf numFmtId="0" fontId="3" fillId="0" borderId="20" xfId="0" applyFont="1" applyBorder="1"/>
    <xf numFmtId="0" fontId="3" fillId="0" borderId="26" xfId="0" applyFont="1" applyBorder="1"/>
    <xf numFmtId="0" fontId="3" fillId="0" borderId="21" xfId="0" applyFont="1" applyBorder="1"/>
    <xf numFmtId="0" fontId="5" fillId="2" borderId="8" xfId="1" applyFont="1" applyBorder="1"/>
    <xf numFmtId="0" fontId="5" fillId="2" borderId="10" xfId="1" applyFont="1" applyBorder="1"/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14" xfId="0" applyFont="1" applyBorder="1"/>
    <xf numFmtId="0" fontId="3" fillId="0" borderId="28" xfId="0" applyFont="1" applyBorder="1"/>
    <xf numFmtId="0" fontId="3" fillId="0" borderId="29" xfId="0" applyFont="1" applyBorder="1"/>
    <xf numFmtId="164" fontId="3" fillId="0" borderId="14" xfId="0" applyNumberFormat="1" applyFont="1" applyBorder="1" applyAlignment="1">
      <alignment horizontal="left"/>
    </xf>
    <xf numFmtId="164" fontId="3" fillId="0" borderId="17" xfId="0" applyNumberFormat="1" applyFont="1" applyBorder="1" applyAlignment="1">
      <alignment horizontal="left"/>
    </xf>
    <xf numFmtId="164" fontId="3" fillId="0" borderId="18" xfId="0" applyNumberFormat="1" applyFont="1" applyBorder="1" applyAlignment="1">
      <alignment horizontal="left"/>
    </xf>
    <xf numFmtId="164" fontId="3" fillId="0" borderId="17" xfId="0" applyNumberFormat="1" applyFont="1" applyBorder="1"/>
    <xf numFmtId="164" fontId="3" fillId="0" borderId="18" xfId="0" applyNumberFormat="1" applyFont="1" applyBorder="1"/>
    <xf numFmtId="164" fontId="3" fillId="0" borderId="32" xfId="0" applyNumberFormat="1" applyFont="1" applyBorder="1" applyAlignment="1">
      <alignment horizontal="left"/>
    </xf>
    <xf numFmtId="164" fontId="3" fillId="0" borderId="33" xfId="0" applyNumberFormat="1" applyFont="1" applyBorder="1"/>
    <xf numFmtId="164" fontId="3" fillId="0" borderId="34" xfId="0" applyNumberFormat="1" applyFont="1" applyBorder="1"/>
    <xf numFmtId="0" fontId="7" fillId="0" borderId="0" xfId="0" applyFont="1" applyBorder="1"/>
    <xf numFmtId="0" fontId="3" fillId="0" borderId="14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1" fontId="3" fillId="0" borderId="1" xfId="0" applyNumberFormat="1" applyFont="1" applyBorder="1" applyAlignment="1"/>
    <xf numFmtId="164" fontId="6" fillId="0" borderId="14" xfId="0" applyNumberFormat="1" applyFont="1" applyBorder="1" applyAlignment="1"/>
    <xf numFmtId="164" fontId="6" fillId="0" borderId="18" xfId="0" applyNumberFormat="1" applyFont="1" applyBorder="1" applyAlignment="1"/>
    <xf numFmtId="164" fontId="6" fillId="0" borderId="17" xfId="0" applyNumberFormat="1" applyFont="1" applyBorder="1" applyAlignment="1"/>
    <xf numFmtId="164" fontId="3" fillId="0" borderId="18" xfId="0" applyNumberFormat="1" applyFont="1" applyBorder="1" applyAlignment="1"/>
    <xf numFmtId="164" fontId="3" fillId="0" borderId="27" xfId="0" applyNumberFormat="1" applyFont="1" applyBorder="1" applyAlignment="1"/>
    <xf numFmtId="164" fontId="3" fillId="0" borderId="28" xfId="0" applyNumberFormat="1" applyFont="1" applyBorder="1" applyAlignment="1"/>
    <xf numFmtId="164" fontId="3" fillId="0" borderId="29" xfId="0" applyNumberFormat="1" applyFont="1" applyBorder="1" applyAlignment="1"/>
    <xf numFmtId="164" fontId="3" fillId="0" borderId="30" xfId="0" applyNumberFormat="1" applyFont="1" applyBorder="1" applyAlignment="1"/>
    <xf numFmtId="164" fontId="3" fillId="0" borderId="0" xfId="0" applyNumberFormat="1" applyFont="1" applyBorder="1" applyAlignment="1"/>
    <xf numFmtId="164" fontId="3" fillId="0" borderId="31" xfId="0" applyNumberFormat="1" applyFont="1" applyBorder="1" applyAlignment="1"/>
    <xf numFmtId="0" fontId="3" fillId="0" borderId="1" xfId="0" applyFont="1" applyBorder="1" applyAlignment="1"/>
    <xf numFmtId="164" fontId="3" fillId="0" borderId="14" xfId="0" applyNumberFormat="1" applyFont="1" applyBorder="1" applyAlignment="1"/>
    <xf numFmtId="0" fontId="7" fillId="0" borderId="1" xfId="0" applyFont="1" applyBorder="1"/>
    <xf numFmtId="0" fontId="0" fillId="0" borderId="33" xfId="0" applyBorder="1"/>
    <xf numFmtId="0" fontId="0" fillId="0" borderId="34" xfId="0" applyBorder="1"/>
    <xf numFmtId="164" fontId="6" fillId="0" borderId="32" xfId="0" applyNumberFormat="1" applyFont="1" applyBorder="1" applyAlignment="1"/>
    <xf numFmtId="0" fontId="0" fillId="0" borderId="14" xfId="0" applyBorder="1"/>
    <xf numFmtId="0" fontId="0" fillId="0" borderId="17" xfId="0" applyBorder="1"/>
    <xf numFmtId="0" fontId="0" fillId="0" borderId="18" xfId="0" applyBorder="1"/>
  </cellXfs>
  <cellStyles count="2">
    <cellStyle name="Нейтральный" xfId="1" builtinId="28"/>
    <cellStyle name="Обычный" xfId="0" builtinId="0"/>
  </cellStyles>
  <dxfs count="11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482A-570F-4BA7-8E9A-F6A28D0126B7}">
  <dimension ref="A3:AF55"/>
  <sheetViews>
    <sheetView showGridLines="0" tabSelected="1" topLeftCell="A28" zoomScale="65" zoomScaleNormal="65" workbookViewId="0">
      <selection activeCell="O43" sqref="O43"/>
    </sheetView>
  </sheetViews>
  <sheetFormatPr defaultRowHeight="14.4" x14ac:dyDescent="0.3"/>
  <cols>
    <col min="1" max="1" width="25.5546875" customWidth="1"/>
    <col min="2" max="2" width="8.77734375" customWidth="1"/>
    <col min="3" max="3" width="9.6640625" customWidth="1"/>
    <col min="4" max="4" width="9.88671875" customWidth="1"/>
    <col min="5" max="5" width="10.109375" customWidth="1"/>
    <col min="7" max="7" width="8.88671875" customWidth="1"/>
    <col min="8" max="8" width="10.44140625" customWidth="1"/>
    <col min="13" max="13" width="10.77734375" customWidth="1"/>
    <col min="23" max="23" width="9.33203125" customWidth="1"/>
    <col min="24" max="24" width="10" customWidth="1"/>
  </cols>
  <sheetData>
    <row r="3" spans="1:32" ht="15.6" x14ac:dyDescent="0.3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5" spans="1:32" ht="15.6" x14ac:dyDescent="0.3">
      <c r="A5" s="1"/>
      <c r="B5" s="2" t="s">
        <v>1</v>
      </c>
      <c r="C5" s="2" t="s">
        <v>18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  <c r="R5" s="2" t="s">
        <v>34</v>
      </c>
      <c r="S5" s="2" t="s">
        <v>35</v>
      </c>
      <c r="T5" s="2" t="s">
        <v>36</v>
      </c>
      <c r="U5" s="2" t="s">
        <v>37</v>
      </c>
      <c r="V5" s="2" t="s">
        <v>48</v>
      </c>
      <c r="W5" s="2" t="s">
        <v>49</v>
      </c>
      <c r="Y5" s="1"/>
      <c r="Z5" s="2" t="s">
        <v>52</v>
      </c>
      <c r="AA5" s="2" t="s">
        <v>53</v>
      </c>
      <c r="AB5" s="2" t="s">
        <v>54</v>
      </c>
      <c r="AC5" s="24"/>
      <c r="AD5" s="50" t="s">
        <v>57</v>
      </c>
      <c r="AE5" s="50" t="s">
        <v>58</v>
      </c>
    </row>
    <row r="6" spans="1:32" ht="15.6" x14ac:dyDescent="0.3">
      <c r="A6" s="5" t="s">
        <v>2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13</v>
      </c>
      <c r="S6" s="2" t="s">
        <v>13</v>
      </c>
      <c r="T6" s="2" t="s">
        <v>13</v>
      </c>
      <c r="U6" s="2" t="s">
        <v>13</v>
      </c>
      <c r="V6" s="2" t="s">
        <v>16</v>
      </c>
      <c r="W6" s="2" t="s">
        <v>19</v>
      </c>
      <c r="Y6" s="5" t="s">
        <v>2</v>
      </c>
      <c r="Z6" s="2" t="s">
        <v>13</v>
      </c>
      <c r="AA6" s="2" t="s">
        <v>13</v>
      </c>
      <c r="AB6" s="2" t="s">
        <v>13</v>
      </c>
      <c r="AC6" s="24"/>
      <c r="AD6" s="2" t="s">
        <v>13</v>
      </c>
      <c r="AE6" s="2" t="s">
        <v>13</v>
      </c>
    </row>
    <row r="7" spans="1:32" ht="15.6" x14ac:dyDescent="0.3">
      <c r="A7" s="5" t="s">
        <v>3</v>
      </c>
      <c r="B7" s="2">
        <v>40</v>
      </c>
      <c r="C7" s="2">
        <v>40</v>
      </c>
      <c r="D7" s="2">
        <v>40</v>
      </c>
      <c r="E7" s="2">
        <v>40</v>
      </c>
      <c r="F7" s="2">
        <v>40</v>
      </c>
      <c r="G7" s="2">
        <v>40</v>
      </c>
      <c r="H7" s="2">
        <v>40</v>
      </c>
      <c r="I7" s="2">
        <v>40</v>
      </c>
      <c r="J7" s="2">
        <v>40</v>
      </c>
      <c r="K7" s="2">
        <v>40</v>
      </c>
      <c r="L7" s="2">
        <v>40</v>
      </c>
      <c r="M7" s="2">
        <v>40</v>
      </c>
      <c r="N7" s="2">
        <v>40</v>
      </c>
      <c r="O7" s="2">
        <v>40</v>
      </c>
      <c r="P7" s="2">
        <v>40</v>
      </c>
      <c r="Q7" s="2">
        <v>40</v>
      </c>
      <c r="R7" s="2">
        <v>40</v>
      </c>
      <c r="S7" s="2">
        <v>40</v>
      </c>
      <c r="T7" s="2">
        <v>20</v>
      </c>
      <c r="U7" s="2">
        <v>60</v>
      </c>
      <c r="V7" s="2">
        <v>40</v>
      </c>
      <c r="W7" s="2">
        <v>40</v>
      </c>
      <c r="Y7" s="5" t="s">
        <v>3</v>
      </c>
      <c r="Z7" s="2">
        <v>50</v>
      </c>
      <c r="AA7" s="2">
        <v>60</v>
      </c>
      <c r="AB7" s="2">
        <v>60</v>
      </c>
      <c r="AC7" s="24"/>
      <c r="AD7" s="2">
        <v>60</v>
      </c>
      <c r="AE7" s="2">
        <v>60</v>
      </c>
    </row>
    <row r="8" spans="1:32" ht="15.6" x14ac:dyDescent="0.3">
      <c r="A8" s="5" t="s">
        <v>8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  <c r="N8" s="3" t="s">
        <v>14</v>
      </c>
      <c r="O8" s="3" t="s">
        <v>14</v>
      </c>
      <c r="P8" s="3" t="s">
        <v>14</v>
      </c>
      <c r="Q8" s="3" t="s">
        <v>14</v>
      </c>
      <c r="R8" s="3" t="s">
        <v>46</v>
      </c>
      <c r="S8" s="3" t="s">
        <v>47</v>
      </c>
      <c r="T8" s="3" t="s">
        <v>14</v>
      </c>
      <c r="U8" s="3" t="s">
        <v>14</v>
      </c>
      <c r="V8" s="3" t="s">
        <v>14</v>
      </c>
      <c r="W8" s="3" t="s">
        <v>14</v>
      </c>
      <c r="Y8" s="5" t="s">
        <v>8</v>
      </c>
      <c r="Z8" s="3" t="s">
        <v>14</v>
      </c>
      <c r="AA8" s="3" t="s">
        <v>14</v>
      </c>
      <c r="AB8" s="3" t="s">
        <v>14</v>
      </c>
      <c r="AC8" s="26"/>
      <c r="AD8" s="3" t="s">
        <v>14</v>
      </c>
      <c r="AE8" s="3" t="s">
        <v>47</v>
      </c>
    </row>
    <row r="9" spans="1:32" ht="15.6" x14ac:dyDescent="0.3">
      <c r="A9" s="5" t="s">
        <v>4</v>
      </c>
      <c r="B9" s="2">
        <v>128</v>
      </c>
      <c r="C9" s="2">
        <v>128</v>
      </c>
      <c r="D9" s="2">
        <v>128</v>
      </c>
      <c r="E9" s="2">
        <v>128</v>
      </c>
      <c r="F9" s="2">
        <v>128</v>
      </c>
      <c r="G9" s="2">
        <v>128</v>
      </c>
      <c r="H9" s="2">
        <v>128</v>
      </c>
      <c r="I9" s="2">
        <v>128</v>
      </c>
      <c r="J9" s="2">
        <v>128</v>
      </c>
      <c r="K9" s="2">
        <v>128</v>
      </c>
      <c r="L9" s="2">
        <v>128</v>
      </c>
      <c r="M9" s="2">
        <v>128</v>
      </c>
      <c r="N9" s="2">
        <v>128</v>
      </c>
      <c r="O9" s="2">
        <v>128</v>
      </c>
      <c r="P9" s="2">
        <v>64</v>
      </c>
      <c r="Q9" s="2">
        <v>256</v>
      </c>
      <c r="R9" s="2">
        <v>128</v>
      </c>
      <c r="S9" s="2">
        <v>128</v>
      </c>
      <c r="T9" s="2">
        <v>128</v>
      </c>
      <c r="U9" s="2">
        <v>128</v>
      </c>
      <c r="V9" s="2">
        <v>128</v>
      </c>
      <c r="W9" s="2">
        <v>128</v>
      </c>
      <c r="Y9" s="5" t="s">
        <v>4</v>
      </c>
      <c r="Z9" s="2">
        <v>128</v>
      </c>
      <c r="AA9" s="2">
        <v>128</v>
      </c>
      <c r="AB9" s="2">
        <v>64</v>
      </c>
      <c r="AC9" s="24"/>
      <c r="AD9" s="2">
        <v>64</v>
      </c>
      <c r="AE9" s="2">
        <v>128</v>
      </c>
    </row>
    <row r="10" spans="1:32" ht="15.6" x14ac:dyDescent="0.3">
      <c r="A10" s="5" t="s">
        <v>9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44</v>
      </c>
      <c r="O10" s="2" t="s">
        <v>45</v>
      </c>
      <c r="P10" s="2" t="s">
        <v>15</v>
      </c>
      <c r="Q10" s="2" t="s">
        <v>15</v>
      </c>
      <c r="R10" s="2" t="s">
        <v>15</v>
      </c>
      <c r="S10" s="2" t="s">
        <v>15</v>
      </c>
      <c r="T10" s="2" t="s">
        <v>15</v>
      </c>
      <c r="U10" s="2" t="s">
        <v>15</v>
      </c>
      <c r="V10" s="2" t="s">
        <v>15</v>
      </c>
      <c r="W10" s="2" t="s">
        <v>15</v>
      </c>
      <c r="Y10" s="5" t="s">
        <v>9</v>
      </c>
      <c r="Z10" s="2" t="s">
        <v>15</v>
      </c>
      <c r="AA10" s="2" t="s">
        <v>15</v>
      </c>
      <c r="AB10" s="2" t="s">
        <v>15</v>
      </c>
      <c r="AC10" s="24"/>
      <c r="AD10" s="2" t="s">
        <v>15</v>
      </c>
      <c r="AE10" s="2" t="s">
        <v>44</v>
      </c>
    </row>
    <row r="11" spans="1:32" ht="15.6" x14ac:dyDescent="0.3">
      <c r="A11" s="5" t="s">
        <v>5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44</v>
      </c>
      <c r="M11" s="2" t="s">
        <v>45</v>
      </c>
      <c r="N11" s="2" t="s">
        <v>15</v>
      </c>
      <c r="O11" s="2" t="s">
        <v>15</v>
      </c>
      <c r="P11" s="2" t="s">
        <v>15</v>
      </c>
      <c r="Q11" s="2" t="s">
        <v>15</v>
      </c>
      <c r="R11" s="2" t="s">
        <v>15</v>
      </c>
      <c r="S11" s="2" t="s">
        <v>15</v>
      </c>
      <c r="T11" s="2" t="s">
        <v>15</v>
      </c>
      <c r="U11" s="2" t="s">
        <v>15</v>
      </c>
      <c r="V11" s="2" t="s">
        <v>15</v>
      </c>
      <c r="W11" s="2" t="s">
        <v>15</v>
      </c>
      <c r="Y11" s="5" t="s">
        <v>5</v>
      </c>
      <c r="Z11" s="2" t="s">
        <v>15</v>
      </c>
      <c r="AA11" s="2" t="s">
        <v>15</v>
      </c>
      <c r="AB11" s="2" t="s">
        <v>15</v>
      </c>
      <c r="AC11" s="24"/>
      <c r="AD11" s="2" t="s">
        <v>15</v>
      </c>
      <c r="AE11" s="2" t="s">
        <v>15</v>
      </c>
    </row>
    <row r="12" spans="1:32" ht="15.6" x14ac:dyDescent="0.3">
      <c r="A12" s="5" t="s">
        <v>6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v>5</v>
      </c>
      <c r="J12" s="2">
        <v>3</v>
      </c>
      <c r="K12" s="2">
        <v>8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5</v>
      </c>
      <c r="Y12" s="5" t="s">
        <v>6</v>
      </c>
      <c r="Z12" s="2">
        <v>5</v>
      </c>
      <c r="AA12" s="2">
        <v>8</v>
      </c>
      <c r="AB12" s="2">
        <v>5</v>
      </c>
      <c r="AC12" s="24"/>
      <c r="AD12" s="2">
        <v>8</v>
      </c>
      <c r="AE12" s="2">
        <v>5</v>
      </c>
    </row>
    <row r="13" spans="1:32" ht="15.6" x14ac:dyDescent="0.3">
      <c r="A13" s="5" t="s">
        <v>7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43</v>
      </c>
      <c r="I13" s="2" t="s">
        <v>19</v>
      </c>
      <c r="J13" s="2" t="s">
        <v>16</v>
      </c>
      <c r="K13" s="2" t="s">
        <v>16</v>
      </c>
      <c r="L13" s="2" t="s">
        <v>16</v>
      </c>
      <c r="M13" s="2" t="s">
        <v>16</v>
      </c>
      <c r="N13" s="2" t="s">
        <v>16</v>
      </c>
      <c r="O13" s="2" t="s">
        <v>16</v>
      </c>
      <c r="P13" s="2" t="s">
        <v>16</v>
      </c>
      <c r="Q13" s="2" t="s">
        <v>16</v>
      </c>
      <c r="R13" s="2" t="s">
        <v>16</v>
      </c>
      <c r="S13" s="2" t="s">
        <v>16</v>
      </c>
      <c r="T13" s="2" t="s">
        <v>16</v>
      </c>
      <c r="U13" s="2" t="s">
        <v>16</v>
      </c>
      <c r="V13" s="2" t="s">
        <v>16</v>
      </c>
      <c r="W13" s="2" t="s">
        <v>16</v>
      </c>
      <c r="Y13" s="5" t="s">
        <v>7</v>
      </c>
      <c r="Z13" s="2" t="s">
        <v>16</v>
      </c>
      <c r="AA13" s="2" t="s">
        <v>16</v>
      </c>
      <c r="AB13" s="2" t="s">
        <v>16</v>
      </c>
      <c r="AC13" s="24"/>
      <c r="AD13" s="2" t="s">
        <v>19</v>
      </c>
      <c r="AE13" s="2" t="s">
        <v>16</v>
      </c>
    </row>
    <row r="14" spans="1:32" ht="15.6" x14ac:dyDescent="0.3">
      <c r="A14" s="7" t="s">
        <v>12</v>
      </c>
      <c r="B14" s="8">
        <v>10</v>
      </c>
      <c r="C14" s="8">
        <v>10</v>
      </c>
      <c r="D14" s="8">
        <v>10</v>
      </c>
      <c r="E14" s="8">
        <v>10</v>
      </c>
      <c r="F14" s="8">
        <v>15</v>
      </c>
      <c r="G14" s="8">
        <v>5</v>
      </c>
      <c r="H14" s="8">
        <v>10</v>
      </c>
      <c r="I14" s="8">
        <v>10</v>
      </c>
      <c r="J14" s="8">
        <v>10</v>
      </c>
      <c r="K14" s="8">
        <v>10</v>
      </c>
      <c r="L14" s="8">
        <v>10</v>
      </c>
      <c r="M14" s="8">
        <v>10</v>
      </c>
      <c r="N14" s="8">
        <v>10</v>
      </c>
      <c r="O14" s="8">
        <v>10</v>
      </c>
      <c r="P14" s="8">
        <v>10</v>
      </c>
      <c r="Q14" s="8">
        <v>10</v>
      </c>
      <c r="R14" s="8">
        <v>10</v>
      </c>
      <c r="S14" s="8">
        <v>10</v>
      </c>
      <c r="T14" s="8">
        <v>10</v>
      </c>
      <c r="U14" s="8">
        <v>10</v>
      </c>
      <c r="V14" s="8">
        <v>10</v>
      </c>
      <c r="W14" s="8">
        <v>10</v>
      </c>
      <c r="Y14" s="7" t="s">
        <v>12</v>
      </c>
      <c r="Z14" s="2">
        <v>10</v>
      </c>
      <c r="AA14" s="2">
        <v>10</v>
      </c>
      <c r="AB14" s="2">
        <v>10</v>
      </c>
      <c r="AC14" s="24"/>
      <c r="AD14" s="2">
        <v>10</v>
      </c>
      <c r="AE14" s="2">
        <v>10</v>
      </c>
      <c r="AF14" s="24"/>
    </row>
    <row r="15" spans="1:32" ht="15.6" x14ac:dyDescent="0.3">
      <c r="A15" s="5" t="s">
        <v>11</v>
      </c>
      <c r="B15" s="2">
        <v>100</v>
      </c>
      <c r="C15" s="2">
        <v>100</v>
      </c>
      <c r="D15" s="2">
        <v>128</v>
      </c>
      <c r="E15" s="2">
        <v>64</v>
      </c>
      <c r="F15" s="2">
        <v>100</v>
      </c>
      <c r="G15" s="2">
        <v>100</v>
      </c>
      <c r="H15" s="2">
        <v>100</v>
      </c>
      <c r="I15" s="2">
        <v>100</v>
      </c>
      <c r="J15" s="2">
        <v>100</v>
      </c>
      <c r="K15" s="2">
        <v>100</v>
      </c>
      <c r="L15" s="2">
        <v>100</v>
      </c>
      <c r="M15" s="2">
        <v>100</v>
      </c>
      <c r="N15" s="2">
        <v>100</v>
      </c>
      <c r="O15" s="2">
        <v>100</v>
      </c>
      <c r="P15" s="2">
        <v>100</v>
      </c>
      <c r="Q15" s="2">
        <v>100</v>
      </c>
      <c r="R15" s="2">
        <v>100</v>
      </c>
      <c r="S15" s="2">
        <v>100</v>
      </c>
      <c r="T15" s="2">
        <v>100</v>
      </c>
      <c r="U15" s="2">
        <v>100</v>
      </c>
      <c r="V15" s="2">
        <v>100</v>
      </c>
      <c r="W15" s="2">
        <v>100</v>
      </c>
      <c r="Y15" s="5" t="s">
        <v>11</v>
      </c>
      <c r="Z15" s="2">
        <v>100</v>
      </c>
      <c r="AA15" s="2">
        <v>100</v>
      </c>
      <c r="AB15" s="2">
        <v>100</v>
      </c>
      <c r="AC15" s="24"/>
      <c r="AD15" s="2">
        <v>100</v>
      </c>
      <c r="AE15" s="2">
        <v>128</v>
      </c>
      <c r="AF15" s="25"/>
    </row>
    <row r="16" spans="1:32" ht="16.2" thickBot="1" x14ac:dyDescent="0.35">
      <c r="A16" s="5" t="s">
        <v>10</v>
      </c>
      <c r="B16" s="2" t="s">
        <v>17</v>
      </c>
      <c r="C16" s="2" t="s">
        <v>38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17</v>
      </c>
      <c r="U16" s="2" t="s">
        <v>17</v>
      </c>
      <c r="V16" s="2" t="s">
        <v>17</v>
      </c>
      <c r="W16" s="2" t="s">
        <v>17</v>
      </c>
      <c r="Y16" s="7" t="s">
        <v>10</v>
      </c>
      <c r="Z16" s="8" t="s">
        <v>17</v>
      </c>
      <c r="AA16" s="8" t="s">
        <v>38</v>
      </c>
      <c r="AB16" s="8" t="s">
        <v>17</v>
      </c>
      <c r="AC16" s="25"/>
      <c r="AD16" s="8" t="s">
        <v>17</v>
      </c>
      <c r="AE16" s="8" t="s">
        <v>17</v>
      </c>
    </row>
    <row r="17" spans="1:32" ht="15.6" x14ac:dyDescent="0.3">
      <c r="A17" s="9" t="s">
        <v>39</v>
      </c>
      <c r="B17" s="10">
        <v>97.739130434782595</v>
      </c>
      <c r="C17" s="18">
        <v>97.739130434782595</v>
      </c>
      <c r="D17" s="18">
        <v>97</v>
      </c>
      <c r="E17" s="18">
        <v>97.391304347826093</v>
      </c>
      <c r="F17" s="18">
        <v>97.695652173913004</v>
      </c>
      <c r="G17" s="18">
        <v>97.260869565217405</v>
      </c>
      <c r="H17" s="18">
        <v>97.739130434782595</v>
      </c>
      <c r="I17" s="18">
        <v>97.739130434782595</v>
      </c>
      <c r="J17" s="18">
        <v>97.739130434782595</v>
      </c>
      <c r="K17" s="18">
        <v>97.739130434782595</v>
      </c>
      <c r="L17" s="18">
        <v>97.739130434782595</v>
      </c>
      <c r="M17" s="18">
        <v>97.739130434782595</v>
      </c>
      <c r="N17" s="18">
        <v>97.739130434782595</v>
      </c>
      <c r="O17" s="18">
        <v>97.739130434782595</v>
      </c>
      <c r="P17" s="18">
        <v>97.956521739130395</v>
      </c>
      <c r="Q17" s="18">
        <v>96.956521739130395</v>
      </c>
      <c r="R17" s="18">
        <v>96.7826086956522</v>
      </c>
      <c r="S17" s="18">
        <v>98.2173913043478</v>
      </c>
      <c r="T17" s="18">
        <v>95.956521739130395</v>
      </c>
      <c r="U17" s="18">
        <v>97.7826086956522</v>
      </c>
      <c r="V17" s="18">
        <v>98</v>
      </c>
      <c r="W17" s="19">
        <v>96.347826086956502</v>
      </c>
      <c r="X17" s="15"/>
      <c r="Y17" s="9" t="s">
        <v>39</v>
      </c>
      <c r="Z17" s="18">
        <v>96.304347826086996</v>
      </c>
      <c r="AA17" s="18">
        <v>96.347826086956502</v>
      </c>
      <c r="AB17" s="27">
        <v>97.739130434782595</v>
      </c>
      <c r="AC17" s="51"/>
      <c r="AD17" s="52">
        <v>98.173913043478294</v>
      </c>
      <c r="AE17" s="53">
        <v>98.043478260869605</v>
      </c>
      <c r="AF17" s="54"/>
    </row>
    <row r="18" spans="1:32" ht="15.6" x14ac:dyDescent="0.3">
      <c r="A18" s="11" t="s">
        <v>41</v>
      </c>
      <c r="B18" s="6">
        <v>94.183445190156604</v>
      </c>
      <c r="C18" s="20">
        <v>94.183445190156604</v>
      </c>
      <c r="D18" s="20">
        <v>92.059838895281899</v>
      </c>
      <c r="E18" s="20">
        <v>93.2126696832579</v>
      </c>
      <c r="F18" s="20">
        <v>94.011299435028306</v>
      </c>
      <c r="G18" s="20">
        <v>92.816419612314704</v>
      </c>
      <c r="H18" s="20">
        <v>94.183445190156604</v>
      </c>
      <c r="I18" s="20">
        <v>94.183445190156604</v>
      </c>
      <c r="J18" s="20">
        <v>94.183445190156604</v>
      </c>
      <c r="K18" s="20">
        <v>94.183445190156604</v>
      </c>
      <c r="L18" s="20">
        <v>94.183445190156604</v>
      </c>
      <c r="M18" s="20">
        <v>94.183445190156604</v>
      </c>
      <c r="N18" s="20">
        <v>94.183445190156604</v>
      </c>
      <c r="O18" s="20">
        <v>94.183445190156604</v>
      </c>
      <c r="P18" s="20">
        <v>94.736842105263193</v>
      </c>
      <c r="Q18" s="20">
        <v>91.898148148148195</v>
      </c>
      <c r="R18" s="20">
        <v>91.415313225058</v>
      </c>
      <c r="S18" s="20">
        <v>95.499451152579596</v>
      </c>
      <c r="T18" s="20">
        <v>88.915375446960695</v>
      </c>
      <c r="U18" s="20">
        <v>94.263217097862807</v>
      </c>
      <c r="V18" s="20">
        <v>94.911504424778798</v>
      </c>
      <c r="W18" s="21">
        <v>90.117647058823493</v>
      </c>
      <c r="X18" s="16" t="s">
        <v>50</v>
      </c>
      <c r="Y18" s="11" t="s">
        <v>41</v>
      </c>
      <c r="Z18" s="20">
        <v>89.988221436984702</v>
      </c>
      <c r="AA18" s="20">
        <v>90.117647058823493</v>
      </c>
      <c r="AB18" s="28">
        <v>94.170403587444</v>
      </c>
      <c r="AC18" s="55" t="s">
        <v>50</v>
      </c>
      <c r="AD18" s="56">
        <v>95.322939866369694</v>
      </c>
      <c r="AE18" s="57">
        <v>95.038588754134494</v>
      </c>
      <c r="AF18" s="58" t="s">
        <v>50</v>
      </c>
    </row>
    <row r="19" spans="1:32" ht="15.6" x14ac:dyDescent="0.3">
      <c r="A19" s="12" t="s">
        <v>40</v>
      </c>
      <c r="B19" s="6">
        <v>98.596869940636793</v>
      </c>
      <c r="C19" s="20">
        <v>98.596869940636793</v>
      </c>
      <c r="D19" s="20">
        <v>98.150629857946896</v>
      </c>
      <c r="E19" s="20">
        <v>98.385360602798698</v>
      </c>
      <c r="F19" s="20">
        <v>98.573351278600299</v>
      </c>
      <c r="G19" s="20">
        <v>98.307816277195798</v>
      </c>
      <c r="H19" s="20">
        <v>98.596869940636793</v>
      </c>
      <c r="I19" s="20">
        <v>98.596869940636793</v>
      </c>
      <c r="J19" s="20">
        <v>98.596869940636793</v>
      </c>
      <c r="K19" s="20">
        <v>98.596869940636793</v>
      </c>
      <c r="L19" s="20">
        <v>98.596869940636793</v>
      </c>
      <c r="M19" s="20">
        <v>98.596869940636793</v>
      </c>
      <c r="N19" s="20">
        <v>98.596869940636793</v>
      </c>
      <c r="O19" s="20">
        <v>98.596869940636793</v>
      </c>
      <c r="P19" s="20">
        <v>98.732128405718896</v>
      </c>
      <c r="Q19" s="20">
        <v>98.126338329764494</v>
      </c>
      <c r="R19" s="20">
        <v>98.020331728196894</v>
      </c>
      <c r="S19" s="20">
        <v>98.888587693141801</v>
      </c>
      <c r="T19" s="20">
        <v>97.527253390055805</v>
      </c>
      <c r="U19" s="20">
        <v>98.625707356507704</v>
      </c>
      <c r="V19" s="20">
        <v>98.755411255411303</v>
      </c>
      <c r="W19" s="21">
        <v>97.76</v>
      </c>
      <c r="X19" s="16"/>
      <c r="Y19" s="12" t="s">
        <v>40</v>
      </c>
      <c r="Z19" s="20">
        <v>97.7339376166356</v>
      </c>
      <c r="AA19" s="20">
        <v>97.76</v>
      </c>
      <c r="AB19" s="28">
        <v>98.597626752966605</v>
      </c>
      <c r="AC19" s="55"/>
      <c r="AD19" s="56">
        <v>98.865478119935204</v>
      </c>
      <c r="AE19" s="57">
        <v>98.781478472786404</v>
      </c>
      <c r="AF19" s="58"/>
    </row>
    <row r="20" spans="1:32" ht="16.2" thickBot="1" x14ac:dyDescent="0.35">
      <c r="A20" s="13" t="s">
        <v>42</v>
      </c>
      <c r="B20" s="14">
        <v>96.390157565396706</v>
      </c>
      <c r="C20" s="22">
        <v>96.390157565396706</v>
      </c>
      <c r="D20" s="22">
        <v>95.105234376614405</v>
      </c>
      <c r="E20" s="22">
        <v>95.799015143028299</v>
      </c>
      <c r="F20" s="22">
        <v>96.292325356814302</v>
      </c>
      <c r="G20" s="22">
        <v>95.5621179447553</v>
      </c>
      <c r="H20" s="22">
        <v>96.390157565396706</v>
      </c>
      <c r="I20" s="22">
        <v>96.390157565396706</v>
      </c>
      <c r="J20" s="22">
        <v>96.390157565396706</v>
      </c>
      <c r="K20" s="22">
        <v>96.390157565396706</v>
      </c>
      <c r="L20" s="22">
        <v>96.390157565396706</v>
      </c>
      <c r="M20" s="22">
        <v>96.390157565396706</v>
      </c>
      <c r="N20" s="22">
        <v>96.390157565396706</v>
      </c>
      <c r="O20" s="22">
        <v>96.390157565396706</v>
      </c>
      <c r="P20" s="22">
        <v>96.734485255490995</v>
      </c>
      <c r="Q20" s="22">
        <v>95.012243238956302</v>
      </c>
      <c r="R20" s="22">
        <v>94.717822476627504</v>
      </c>
      <c r="S20" s="22">
        <v>97.194019422860706</v>
      </c>
      <c r="T20" s="22">
        <v>93.2213144185083</v>
      </c>
      <c r="U20" s="22">
        <v>96.444462227185198</v>
      </c>
      <c r="V20" s="22">
        <v>96.833457840094994</v>
      </c>
      <c r="W20" s="23">
        <v>93.938823529411806</v>
      </c>
      <c r="X20" s="17"/>
      <c r="Y20" s="13" t="s">
        <v>42</v>
      </c>
      <c r="Z20" s="22">
        <v>93.861079526810101</v>
      </c>
      <c r="AA20" s="22">
        <v>93.938823529411806</v>
      </c>
      <c r="AB20" s="29">
        <v>96.384015170205302</v>
      </c>
      <c r="AC20" s="59"/>
      <c r="AD20" s="56">
        <v>97.094208993152506</v>
      </c>
      <c r="AE20" s="57">
        <v>96.910033613460399</v>
      </c>
      <c r="AF20" s="60"/>
    </row>
    <row r="21" spans="1:32" ht="15.6" x14ac:dyDescent="0.3">
      <c r="A21" s="9" t="s">
        <v>39</v>
      </c>
      <c r="B21" s="10">
        <v>97.478260869565204</v>
      </c>
      <c r="C21" s="18">
        <v>97.434782608695599</v>
      </c>
      <c r="D21" s="18">
        <v>97.2173913043478</v>
      </c>
      <c r="E21" s="18">
        <v>97.304347826086996</v>
      </c>
      <c r="F21" s="18">
        <v>96.913043478260903</v>
      </c>
      <c r="G21" s="18">
        <v>97.304347826086996</v>
      </c>
      <c r="H21" s="18">
        <v>97.260869565217405</v>
      </c>
      <c r="I21" s="18">
        <v>97.130434782608702</v>
      </c>
      <c r="J21" s="18">
        <v>97.304347826086996</v>
      </c>
      <c r="K21" s="18">
        <v>97.434782608695599</v>
      </c>
      <c r="L21" s="18">
        <v>97.173913043478294</v>
      </c>
      <c r="M21" s="18">
        <v>97.260869565217405</v>
      </c>
      <c r="N21" s="18">
        <v>97.304347826086996</v>
      </c>
      <c r="O21" s="18">
        <v>97.478260869565204</v>
      </c>
      <c r="P21" s="18">
        <v>97.304347826086996</v>
      </c>
      <c r="Q21" s="18">
        <v>96.695652173913004</v>
      </c>
      <c r="R21" s="18">
        <v>95.391304347826093</v>
      </c>
      <c r="S21" s="18">
        <v>97.173913043478294</v>
      </c>
      <c r="T21" s="18">
        <v>96.347826086956502</v>
      </c>
      <c r="U21" s="18">
        <v>97.478260869565204</v>
      </c>
      <c r="V21" s="18">
        <v>97.173913043478294</v>
      </c>
      <c r="W21" s="19">
        <v>96.565217391304401</v>
      </c>
      <c r="X21" s="15"/>
      <c r="Y21" s="9" t="s">
        <v>39</v>
      </c>
      <c r="Z21" s="18">
        <v>96.608695652173907</v>
      </c>
      <c r="AA21" s="18">
        <v>96.695652173913004</v>
      </c>
      <c r="AB21" s="27">
        <v>96.521739130434796</v>
      </c>
      <c r="AC21" s="39"/>
    </row>
    <row r="22" spans="1:32" ht="15.6" x14ac:dyDescent="0.3">
      <c r="A22" s="11" t="s">
        <v>41</v>
      </c>
      <c r="B22" s="6">
        <v>93.483146067415703</v>
      </c>
      <c r="C22" s="20">
        <v>93.318233295583198</v>
      </c>
      <c r="D22" s="20">
        <v>92.710706150341693</v>
      </c>
      <c r="E22" s="20">
        <v>93.033707865168495</v>
      </c>
      <c r="F22" s="20">
        <v>91.848450057405302</v>
      </c>
      <c r="G22" s="20">
        <v>92.954545454545496</v>
      </c>
      <c r="H22" s="20">
        <v>92.865232163080407</v>
      </c>
      <c r="I22" s="20">
        <v>92.533936651583701</v>
      </c>
      <c r="J22" s="20">
        <v>92.954545454545496</v>
      </c>
      <c r="K22" s="20">
        <v>93.378226711560103</v>
      </c>
      <c r="L22" s="20">
        <v>92.655367231638394</v>
      </c>
      <c r="M22" s="20">
        <v>92.897406989853394</v>
      </c>
      <c r="N22" s="20">
        <v>92.970521541950106</v>
      </c>
      <c r="O22" s="20">
        <v>93.483146067415703</v>
      </c>
      <c r="P22" s="20">
        <v>92.986425339366505</v>
      </c>
      <c r="Q22" s="20">
        <v>91.224018475750597</v>
      </c>
      <c r="R22" s="20">
        <v>87.290167865707403</v>
      </c>
      <c r="S22" s="20">
        <v>92.605233219567694</v>
      </c>
      <c r="T22" s="20">
        <v>90.186915887850503</v>
      </c>
      <c r="U22" s="20">
        <v>93.512304250559296</v>
      </c>
      <c r="V22" s="20">
        <v>92.737430167597793</v>
      </c>
      <c r="W22" s="21">
        <v>90.781796966160996</v>
      </c>
      <c r="X22" s="16" t="s">
        <v>51</v>
      </c>
      <c r="Y22" s="11" t="s">
        <v>41</v>
      </c>
      <c r="Z22" s="20">
        <v>90.909090909090907</v>
      </c>
      <c r="AA22" s="20">
        <v>91.203703703703695</v>
      </c>
      <c r="AB22" s="28">
        <v>90.697674418604706</v>
      </c>
      <c r="AC22" s="38" t="s">
        <v>51</v>
      </c>
    </row>
    <row r="23" spans="1:32" ht="15.6" x14ac:dyDescent="0.3">
      <c r="A23" s="12" t="s">
        <v>40</v>
      </c>
      <c r="B23" s="6">
        <v>98.436657681940702</v>
      </c>
      <c r="C23" s="20">
        <v>98.412698412698404</v>
      </c>
      <c r="D23" s="20">
        <v>98.280494357872101</v>
      </c>
      <c r="E23" s="20">
        <v>98.328840970350399</v>
      </c>
      <c r="F23" s="20">
        <v>98.096004290694594</v>
      </c>
      <c r="G23" s="20">
        <v>98.3333333333333</v>
      </c>
      <c r="H23" s="20">
        <v>98.305084745762699</v>
      </c>
      <c r="I23" s="20">
        <v>98.223896663078605</v>
      </c>
      <c r="J23" s="20">
        <v>98.3333333333333</v>
      </c>
      <c r="K23" s="20">
        <v>98.409274737125898</v>
      </c>
      <c r="L23" s="20">
        <v>98.250336473755098</v>
      </c>
      <c r="M23" s="20">
        <v>98.303258820360895</v>
      </c>
      <c r="N23" s="20">
        <v>98.332436793975305</v>
      </c>
      <c r="O23" s="20">
        <v>98.436657681940702</v>
      </c>
      <c r="P23" s="20">
        <v>98.331539289558705</v>
      </c>
      <c r="Q23" s="20">
        <v>97.964649169791102</v>
      </c>
      <c r="R23" s="20">
        <v>97.185342538502397</v>
      </c>
      <c r="S23" s="20">
        <v>98.253157753292101</v>
      </c>
      <c r="T23" s="20">
        <v>97.756410256410305</v>
      </c>
      <c r="U23" s="20">
        <v>98.434970318402605</v>
      </c>
      <c r="V23" s="20">
        <v>98.245614035087698</v>
      </c>
      <c r="W23" s="21">
        <v>97.8893935345979</v>
      </c>
      <c r="X23" s="16"/>
      <c r="Y23" s="12" t="s">
        <v>40</v>
      </c>
      <c r="Z23" s="20">
        <v>97.915553180117598</v>
      </c>
      <c r="AA23" s="20">
        <v>97.96573875803</v>
      </c>
      <c r="AB23" s="28">
        <v>97.860962566844904</v>
      </c>
      <c r="AC23" s="38"/>
    </row>
    <row r="24" spans="1:32" ht="16.2" thickBot="1" x14ac:dyDescent="0.35">
      <c r="A24" s="34" t="s">
        <v>42</v>
      </c>
      <c r="B24" s="33">
        <v>95.959901874678195</v>
      </c>
      <c r="C24" s="35">
        <v>95.865465854140794</v>
      </c>
      <c r="D24" s="35">
        <v>95.495600254106904</v>
      </c>
      <c r="E24" s="35">
        <v>95.681274417759496</v>
      </c>
      <c r="F24" s="35">
        <v>94.972227174049905</v>
      </c>
      <c r="G24" s="35">
        <v>95.643939393939405</v>
      </c>
      <c r="H24" s="35">
        <v>95.585158454421602</v>
      </c>
      <c r="I24" s="35">
        <v>95.378916657331203</v>
      </c>
      <c r="J24" s="35">
        <v>95.643939393939405</v>
      </c>
      <c r="K24" s="35">
        <v>95.893750724342993</v>
      </c>
      <c r="L24" s="35">
        <v>95.452851852696696</v>
      </c>
      <c r="M24" s="35">
        <v>95.600332905107194</v>
      </c>
      <c r="N24" s="35">
        <v>95.651479167962705</v>
      </c>
      <c r="O24" s="35">
        <v>95.959901874678195</v>
      </c>
      <c r="P24" s="35">
        <v>95.658982314462605</v>
      </c>
      <c r="Q24" s="35">
        <v>94.594333822770906</v>
      </c>
      <c r="R24" s="35">
        <v>92.237755202104907</v>
      </c>
      <c r="S24" s="35">
        <v>95.429195486429904</v>
      </c>
      <c r="T24" s="35">
        <v>93.971663072130397</v>
      </c>
      <c r="U24" s="35">
        <v>95.973637284481001</v>
      </c>
      <c r="V24" s="35">
        <v>95.491522101342696</v>
      </c>
      <c r="W24" s="36">
        <v>94.335595250379498</v>
      </c>
      <c r="X24" s="16"/>
      <c r="Y24" s="13" t="s">
        <v>42</v>
      </c>
      <c r="Z24" s="22">
        <v>94.412322044604295</v>
      </c>
      <c r="AA24" s="22">
        <v>94.584721230866904</v>
      </c>
      <c r="AB24" s="29">
        <v>94.279318492724798</v>
      </c>
      <c r="AC24" s="40"/>
    </row>
    <row r="25" spans="1:32" ht="15.6" x14ac:dyDescent="0.3">
      <c r="A25" s="37" t="s">
        <v>39</v>
      </c>
      <c r="B25" s="41">
        <v>98.043478260869605</v>
      </c>
      <c r="C25" s="42">
        <v>97.826086956521706</v>
      </c>
      <c r="D25" s="42">
        <v>98.304347826086996</v>
      </c>
      <c r="E25" s="42">
        <v>97.869565217391298</v>
      </c>
      <c r="F25" s="42">
        <v>97.7826086956522</v>
      </c>
      <c r="G25" s="42">
        <v>97.826086956521706</v>
      </c>
      <c r="H25" s="42">
        <v>98.130434782608702</v>
      </c>
      <c r="I25" s="42">
        <v>98.086956521739097</v>
      </c>
      <c r="J25" s="42">
        <v>98.043478260869605</v>
      </c>
      <c r="K25" s="42">
        <v>97.956521739130395</v>
      </c>
      <c r="L25" s="42">
        <v>98</v>
      </c>
      <c r="M25" s="42">
        <v>97.826086956521706</v>
      </c>
      <c r="N25" s="42">
        <v>98.2173913043478</v>
      </c>
      <c r="O25" s="42">
        <v>97.913043478260903</v>
      </c>
      <c r="P25" s="42">
        <v>98.086956521739097</v>
      </c>
      <c r="Q25" s="42">
        <v>97.7826086956522</v>
      </c>
      <c r="R25" s="42">
        <v>97.347826086956502</v>
      </c>
      <c r="S25" s="42">
        <v>98.260869565217405</v>
      </c>
      <c r="T25" s="42">
        <v>97.347826086956502</v>
      </c>
      <c r="U25" s="42">
        <v>98.260869565217405</v>
      </c>
      <c r="V25" s="42">
        <v>98.086956521739097</v>
      </c>
      <c r="W25" s="43">
        <v>97.304347826086996</v>
      </c>
      <c r="X25" s="39"/>
      <c r="AD25" s="56">
        <v>98.2173913043478</v>
      </c>
      <c r="AE25" s="57">
        <v>97.956521739130395</v>
      </c>
      <c r="AF25" s="54"/>
    </row>
    <row r="26" spans="1:32" ht="15.6" x14ac:dyDescent="0.3">
      <c r="A26" s="12" t="s">
        <v>41</v>
      </c>
      <c r="B26" s="44">
        <v>95.027624309392294</v>
      </c>
      <c r="C26" s="45">
        <v>94.432071269487807</v>
      </c>
      <c r="D26" s="45">
        <v>95.774647887323894</v>
      </c>
      <c r="E26" s="45">
        <v>94.736842105263193</v>
      </c>
      <c r="F26" s="45">
        <v>94.301675977653602</v>
      </c>
      <c r="G26" s="45">
        <v>94.382022471910105</v>
      </c>
      <c r="H26" s="45">
        <v>95.321001088139298</v>
      </c>
      <c r="I26" s="45">
        <v>95.132743362831903</v>
      </c>
      <c r="J26" s="45">
        <v>95.016611295681102</v>
      </c>
      <c r="K26" s="45">
        <v>94.907908992415997</v>
      </c>
      <c r="L26" s="45">
        <v>94.911504424778798</v>
      </c>
      <c r="M26" s="45">
        <v>94.456762749445701</v>
      </c>
      <c r="N26" s="45">
        <v>95.538628944504893</v>
      </c>
      <c r="O26" s="45">
        <v>94.690265486725707</v>
      </c>
      <c r="P26" s="45">
        <v>95.196506550218402</v>
      </c>
      <c r="Q26" s="45">
        <v>94.288913773796196</v>
      </c>
      <c r="R26" s="45">
        <v>93.076049943246304</v>
      </c>
      <c r="S26" s="45">
        <v>95.614035087719301</v>
      </c>
      <c r="T26" s="45">
        <v>93.091732729331795</v>
      </c>
      <c r="U26" s="45">
        <v>95.604395604395606</v>
      </c>
      <c r="V26" s="45">
        <v>95.154185022026397</v>
      </c>
      <c r="W26" s="46">
        <v>92.954545454545496</v>
      </c>
      <c r="X26" s="38" t="s">
        <v>56</v>
      </c>
      <c r="AD26" s="56">
        <v>95.499451152579596</v>
      </c>
      <c r="AE26" s="57">
        <v>94.829482948294796</v>
      </c>
      <c r="AF26" s="58" t="s">
        <v>56</v>
      </c>
    </row>
    <row r="27" spans="1:32" ht="15.6" x14ac:dyDescent="0.3">
      <c r="A27" s="12" t="s">
        <v>40</v>
      </c>
      <c r="B27" s="44">
        <v>98.782138024357195</v>
      </c>
      <c r="C27" s="45">
        <v>98.649378714208495</v>
      </c>
      <c r="D27" s="45">
        <v>98.939352733206405</v>
      </c>
      <c r="E27" s="45">
        <v>98.664486236031607</v>
      </c>
      <c r="F27" s="45">
        <v>98.623481781376498</v>
      </c>
      <c r="G27" s="45">
        <v>98.652291105121293</v>
      </c>
      <c r="H27" s="45">
        <v>98.8318391741375</v>
      </c>
      <c r="I27" s="45">
        <v>98.809523809523796</v>
      </c>
      <c r="J27" s="45">
        <v>98.782796862320794</v>
      </c>
      <c r="K27" s="45">
        <v>98.721784063094901</v>
      </c>
      <c r="L27" s="45">
        <v>98.755411255411303</v>
      </c>
      <c r="M27" s="45">
        <v>98.647917793401902</v>
      </c>
      <c r="N27" s="20">
        <v>98.886172235805503</v>
      </c>
      <c r="O27" s="20">
        <v>98.701298701298697</v>
      </c>
      <c r="P27" s="20">
        <v>98.8056460369164</v>
      </c>
      <c r="Q27" s="20">
        <v>98.624224440248199</v>
      </c>
      <c r="R27" s="20">
        <v>98.359774132831404</v>
      </c>
      <c r="S27" s="20">
        <v>98.915401301518401</v>
      </c>
      <c r="T27" s="20">
        <v>98.358891579230601</v>
      </c>
      <c r="U27" s="20">
        <v>98.915989159891595</v>
      </c>
      <c r="V27" s="20">
        <v>98.808234019501597</v>
      </c>
      <c r="W27" s="28">
        <v>98.3333333333333</v>
      </c>
      <c r="X27" s="38"/>
      <c r="AD27" s="56">
        <v>98.888587693141801</v>
      </c>
      <c r="AE27" s="57">
        <v>98.726632348956898</v>
      </c>
      <c r="AF27" s="58"/>
    </row>
    <row r="28" spans="1:32" ht="16.2" thickBot="1" x14ac:dyDescent="0.35">
      <c r="A28" s="13" t="s">
        <v>42</v>
      </c>
      <c r="B28" s="47">
        <v>96.904881166874802</v>
      </c>
      <c r="C28" s="48">
        <v>96.540724991848094</v>
      </c>
      <c r="D28" s="48">
        <v>97.357000310265207</v>
      </c>
      <c r="E28" s="48">
        <v>96.7006641706474</v>
      </c>
      <c r="F28" s="48">
        <v>96.462578879515107</v>
      </c>
      <c r="G28" s="48">
        <v>96.517156788515706</v>
      </c>
      <c r="H28" s="48">
        <v>97.076420131138406</v>
      </c>
      <c r="I28" s="48">
        <v>96.9711335861778</v>
      </c>
      <c r="J28" s="48">
        <v>96.899704079000898</v>
      </c>
      <c r="K28" s="48">
        <v>96.814846527755506</v>
      </c>
      <c r="L28" s="48">
        <v>96.833457840094994</v>
      </c>
      <c r="M28" s="48">
        <v>96.552340271423802</v>
      </c>
      <c r="N28" s="22">
        <v>97.212400590155198</v>
      </c>
      <c r="O28" s="22">
        <v>96.695782094012202</v>
      </c>
      <c r="P28" s="22">
        <v>97.001076293567394</v>
      </c>
      <c r="Q28" s="22">
        <v>96.456569107022204</v>
      </c>
      <c r="R28" s="22">
        <v>95.717912038038904</v>
      </c>
      <c r="S28" s="22">
        <v>97.264718194618894</v>
      </c>
      <c r="T28" s="22">
        <v>95.725312154281198</v>
      </c>
      <c r="U28" s="22">
        <v>97.2601923821436</v>
      </c>
      <c r="V28" s="22">
        <v>96.981209520763997</v>
      </c>
      <c r="W28" s="49">
        <v>95.643939393939405</v>
      </c>
      <c r="X28" s="40"/>
      <c r="AD28" s="61">
        <v>97.194019422860706</v>
      </c>
      <c r="AE28" s="62">
        <v>96.778057648625904</v>
      </c>
      <c r="AF28" s="60"/>
    </row>
    <row r="29" spans="1:32" ht="15.6" x14ac:dyDescent="0.3">
      <c r="O29" s="26"/>
      <c r="P29" s="26"/>
      <c r="Q29" s="26"/>
      <c r="R29" s="26"/>
      <c r="S29" s="26"/>
      <c r="T29" s="26"/>
      <c r="U29" s="26"/>
      <c r="V29" s="26"/>
      <c r="W29" s="26"/>
      <c r="X29" s="25"/>
      <c r="Y29" s="25"/>
    </row>
    <row r="30" spans="1:32" ht="15.6" x14ac:dyDescent="0.3">
      <c r="N30" s="24"/>
      <c r="O30" s="24"/>
      <c r="P30" s="24"/>
      <c r="Q30" s="24"/>
      <c r="R30" s="24"/>
      <c r="S30" s="24"/>
      <c r="T30" s="24"/>
      <c r="U30" s="24"/>
      <c r="V30" s="24"/>
      <c r="W30" s="25"/>
      <c r="X30" s="25"/>
    </row>
    <row r="31" spans="1:32" ht="15.6" x14ac:dyDescent="0.3">
      <c r="N31" s="24"/>
      <c r="O31" s="24"/>
      <c r="P31" s="24"/>
      <c r="Q31" s="24"/>
      <c r="R31" s="24"/>
      <c r="S31" s="24"/>
      <c r="T31" s="24"/>
      <c r="U31" s="24"/>
      <c r="V31" s="24"/>
      <c r="W31" s="25"/>
      <c r="X31" s="25"/>
    </row>
    <row r="32" spans="1:32" ht="15.6" x14ac:dyDescent="0.3">
      <c r="N32" s="24"/>
      <c r="O32" s="24"/>
      <c r="P32" s="24"/>
      <c r="Q32" s="24"/>
      <c r="R32" s="24"/>
      <c r="S32" s="24"/>
      <c r="T32" s="24"/>
      <c r="U32" s="24"/>
      <c r="V32" s="24"/>
      <c r="W32" s="25"/>
      <c r="X32" s="25"/>
    </row>
    <row r="33" spans="1:24" ht="15.6" x14ac:dyDescent="0.3">
      <c r="N33" s="24"/>
      <c r="O33" s="24"/>
      <c r="P33" s="24"/>
      <c r="Q33" s="24"/>
      <c r="R33" s="24"/>
      <c r="S33" s="24"/>
      <c r="T33" s="24"/>
      <c r="U33" s="24"/>
      <c r="V33" s="24"/>
      <c r="W33" s="25"/>
      <c r="X33" s="25"/>
    </row>
    <row r="34" spans="1:24" ht="15.6" x14ac:dyDescent="0.3">
      <c r="A34" s="63" t="s">
        <v>42</v>
      </c>
      <c r="B34" s="66" t="s">
        <v>59</v>
      </c>
      <c r="C34" s="30"/>
      <c r="D34" s="30"/>
      <c r="E34" s="31"/>
      <c r="F34" s="65" t="s">
        <v>60</v>
      </c>
      <c r="G34" s="67"/>
      <c r="H34" s="67"/>
      <c r="I34" s="68"/>
      <c r="J34" s="98" t="s">
        <v>68</v>
      </c>
      <c r="K34" s="99"/>
      <c r="L34" s="99"/>
      <c r="M34" s="100"/>
      <c r="N34" s="24"/>
      <c r="O34" s="24"/>
      <c r="P34" s="24"/>
      <c r="Q34" s="24"/>
      <c r="R34" s="24"/>
      <c r="S34" s="24"/>
      <c r="T34" s="24"/>
      <c r="U34" s="24"/>
      <c r="V34" s="24"/>
      <c r="W34" s="25"/>
      <c r="X34" s="25"/>
    </row>
    <row r="35" spans="1:24" ht="18" x14ac:dyDescent="0.35">
      <c r="A35" s="32">
        <v>1</v>
      </c>
      <c r="B35" s="69"/>
      <c r="C35" s="70">
        <v>96.251317471758099</v>
      </c>
      <c r="D35" s="70"/>
      <c r="E35" s="71"/>
      <c r="F35" s="69"/>
      <c r="G35" s="70">
        <v>97.203253479250506</v>
      </c>
      <c r="H35" s="72"/>
      <c r="I35" s="73"/>
      <c r="J35" s="82">
        <v>97.198647389320598</v>
      </c>
      <c r="K35" s="99"/>
      <c r="L35" s="99"/>
      <c r="M35" s="100"/>
      <c r="N35" s="24"/>
      <c r="O35" s="24"/>
      <c r="P35" s="24"/>
      <c r="Q35" s="24"/>
      <c r="R35" s="24"/>
      <c r="S35" s="24"/>
      <c r="T35" s="24"/>
      <c r="U35" s="24"/>
    </row>
    <row r="36" spans="1:24" ht="18" x14ac:dyDescent="0.35">
      <c r="A36" s="32">
        <v>2</v>
      </c>
      <c r="B36" s="69"/>
      <c r="C36" s="70">
        <v>96.263982991196002</v>
      </c>
      <c r="D36" s="70"/>
      <c r="E36" s="71"/>
      <c r="F36" s="69"/>
      <c r="G36" s="70">
        <v>96.910033613460399</v>
      </c>
      <c r="H36" s="72"/>
      <c r="I36" s="73"/>
      <c r="J36" s="82">
        <v>97.352700820662804</v>
      </c>
      <c r="K36" s="99"/>
      <c r="L36" s="99"/>
      <c r="M36" s="100"/>
    </row>
    <row r="37" spans="1:24" ht="18" x14ac:dyDescent="0.35">
      <c r="A37" s="32">
        <v>3</v>
      </c>
      <c r="B37" s="69"/>
      <c r="C37" s="70">
        <v>96.066369439021102</v>
      </c>
      <c r="D37" s="70"/>
      <c r="E37" s="71"/>
      <c r="F37" s="69"/>
      <c r="G37" s="70">
        <v>96.904881166874802</v>
      </c>
      <c r="H37" s="72"/>
      <c r="I37" s="73"/>
      <c r="J37" s="82">
        <v>96.506754252004995</v>
      </c>
      <c r="K37" s="99"/>
      <c r="L37" s="99"/>
      <c r="M37" s="100"/>
    </row>
    <row r="38" spans="1:24" ht="18" x14ac:dyDescent="0.35">
      <c r="A38" s="32">
        <v>4</v>
      </c>
      <c r="B38" s="69"/>
      <c r="C38" s="70">
        <v>96.756480063754196</v>
      </c>
      <c r="D38" s="70"/>
      <c r="E38" s="71"/>
      <c r="F38" s="69"/>
      <c r="G38" s="70">
        <v>96.930400160152999</v>
      </c>
      <c r="H38" s="72"/>
      <c r="I38" s="73"/>
      <c r="J38" s="82">
        <v>96.930400160152999</v>
      </c>
      <c r="K38" s="99"/>
      <c r="L38" s="99"/>
      <c r="M38" s="100"/>
    </row>
    <row r="39" spans="1:24" ht="18" x14ac:dyDescent="0.35">
      <c r="A39" s="32">
        <v>5</v>
      </c>
      <c r="B39" s="69"/>
      <c r="C39" s="70">
        <v>96.480435813861007</v>
      </c>
      <c r="D39" s="70"/>
      <c r="E39" s="71"/>
      <c r="F39" s="69"/>
      <c r="G39" s="70">
        <v>97.194019422860706</v>
      </c>
      <c r="H39" s="72"/>
      <c r="I39" s="73"/>
      <c r="J39" s="82">
        <v>96.712230858572298</v>
      </c>
      <c r="K39" s="99"/>
      <c r="L39" s="99"/>
      <c r="M39" s="100"/>
    </row>
    <row r="40" spans="1:24" ht="18" x14ac:dyDescent="0.35">
      <c r="A40" s="64" t="s">
        <v>55</v>
      </c>
      <c r="B40" s="69"/>
      <c r="C40" s="70">
        <f>AVERAGE(C35:C39)</f>
        <v>96.363717155918067</v>
      </c>
      <c r="D40" s="70"/>
      <c r="E40" s="71"/>
      <c r="F40" s="74"/>
      <c r="G40" s="70">
        <f>AVERAGE(G35:G39)</f>
        <v>97.028517568519888</v>
      </c>
      <c r="H40" s="75"/>
      <c r="I40" s="76"/>
      <c r="J40" s="97">
        <f>AVERAGE(J35:J39)</f>
        <v>96.940146696142747</v>
      </c>
      <c r="K40" s="95"/>
      <c r="L40" s="95"/>
      <c r="M40" s="96"/>
    </row>
    <row r="41" spans="1:24" ht="15.6" x14ac:dyDescent="0.3">
      <c r="A41" s="24"/>
      <c r="B41" s="24"/>
      <c r="C41" s="24"/>
      <c r="D41" s="24"/>
      <c r="E41" s="24"/>
      <c r="F41" s="24"/>
      <c r="G41" s="24"/>
    </row>
    <row r="42" spans="1:24" ht="15.6" x14ac:dyDescent="0.3">
      <c r="G42" s="24"/>
    </row>
    <row r="43" spans="1:24" ht="15.6" x14ac:dyDescent="0.3">
      <c r="D43" t="s">
        <v>61</v>
      </c>
      <c r="G43" s="24"/>
      <c r="H43" s="24"/>
      <c r="I43" s="24"/>
      <c r="J43" s="24"/>
      <c r="K43" s="24"/>
      <c r="L43" s="24"/>
      <c r="M43" s="24"/>
    </row>
    <row r="45" spans="1:24" ht="15.6" x14ac:dyDescent="0.3">
      <c r="D45" s="78" t="s">
        <v>63</v>
      </c>
      <c r="E45" s="78" t="s">
        <v>42</v>
      </c>
      <c r="F45" s="80"/>
      <c r="G45" s="79" t="s">
        <v>67</v>
      </c>
      <c r="H45" s="80"/>
      <c r="I45" s="78" t="s">
        <v>62</v>
      </c>
      <c r="J45" s="79"/>
      <c r="K45" s="79"/>
      <c r="L45" s="80"/>
    </row>
    <row r="46" spans="1:24" ht="18" x14ac:dyDescent="0.35">
      <c r="D46" s="81">
        <v>1</v>
      </c>
      <c r="E46" s="82">
        <v>97.198647389320598</v>
      </c>
      <c r="F46" s="83"/>
      <c r="G46" s="84">
        <v>98.2173913043478</v>
      </c>
      <c r="H46" s="85"/>
      <c r="I46" s="86"/>
      <c r="J46" s="87"/>
      <c r="K46" s="87"/>
      <c r="L46" s="88"/>
    </row>
    <row r="47" spans="1:24" ht="18" x14ac:dyDescent="0.35">
      <c r="D47" s="81">
        <v>2</v>
      </c>
      <c r="E47" s="82">
        <v>97.352700820662804</v>
      </c>
      <c r="F47" s="83"/>
      <c r="G47" s="84">
        <v>98.304347826086996</v>
      </c>
      <c r="H47" s="85"/>
      <c r="I47" s="89"/>
      <c r="J47" s="90"/>
      <c r="K47" s="90"/>
      <c r="L47" s="91"/>
    </row>
    <row r="48" spans="1:24" ht="18" x14ac:dyDescent="0.35">
      <c r="D48" s="81">
        <v>3</v>
      </c>
      <c r="E48" s="82">
        <v>96.506754252004995</v>
      </c>
      <c r="F48" s="83"/>
      <c r="G48" s="84">
        <v>97.391304347826207</v>
      </c>
      <c r="H48" s="85"/>
      <c r="I48" s="89"/>
      <c r="J48" s="90"/>
      <c r="K48" s="90"/>
      <c r="L48" s="91"/>
    </row>
    <row r="49" spans="4:12" ht="18" x14ac:dyDescent="0.35">
      <c r="D49" s="81">
        <v>4</v>
      </c>
      <c r="E49" s="82">
        <v>96.930400160152999</v>
      </c>
      <c r="F49" s="83"/>
      <c r="G49" s="84">
        <v>98.043478260869605</v>
      </c>
      <c r="H49" s="85"/>
      <c r="I49" s="89"/>
      <c r="J49" s="90"/>
      <c r="K49" s="90"/>
      <c r="L49" s="91"/>
    </row>
    <row r="50" spans="4:12" ht="18" x14ac:dyDescent="0.35">
      <c r="D50" s="81">
        <v>5</v>
      </c>
      <c r="E50" s="82">
        <v>96.712230858572298</v>
      </c>
      <c r="F50" s="83"/>
      <c r="G50" s="84">
        <v>97.913043478260903</v>
      </c>
      <c r="H50" s="85"/>
      <c r="I50" s="89"/>
      <c r="J50" s="90"/>
      <c r="K50" s="90"/>
      <c r="L50" s="91"/>
    </row>
    <row r="51" spans="4:12" ht="18" x14ac:dyDescent="0.35">
      <c r="D51" s="92" t="s">
        <v>55</v>
      </c>
      <c r="E51" s="82">
        <f>AVERAGE(E46:E50)</f>
        <v>96.940146696142747</v>
      </c>
      <c r="F51" s="83"/>
      <c r="G51" s="84">
        <f>AVERAGE(G46:G50)</f>
        <v>97.973913043478291</v>
      </c>
      <c r="H51" s="85"/>
      <c r="I51" s="93"/>
      <c r="J51" s="83">
        <v>95.54</v>
      </c>
      <c r="K51" s="82">
        <v>97.23</v>
      </c>
      <c r="L51" s="85"/>
    </row>
    <row r="52" spans="4:12" ht="18" x14ac:dyDescent="0.35">
      <c r="I52" s="25"/>
      <c r="J52" s="77"/>
      <c r="K52" s="77"/>
      <c r="L52" s="25"/>
    </row>
    <row r="54" spans="4:12" ht="18" x14ac:dyDescent="0.35">
      <c r="D54" s="94"/>
      <c r="E54" s="94" t="s">
        <v>65</v>
      </c>
      <c r="F54" s="94" t="s">
        <v>66</v>
      </c>
    </row>
    <row r="55" spans="4:12" ht="18" x14ac:dyDescent="0.35">
      <c r="D55" s="94" t="s">
        <v>64</v>
      </c>
      <c r="E55" s="94">
        <f>($E$51-$J$51)/$E$51*100</f>
        <v>1.444341424953149</v>
      </c>
      <c r="F55" s="94">
        <f>($G$51-$K$51)/$G$51*100</f>
        <v>0.75929706221712046</v>
      </c>
    </row>
  </sheetData>
  <phoneticPr fontId="1" type="noConversion"/>
  <conditionalFormatting sqref="C6:W6 N28:V28 Z6:AD6 G36 A35:F35 J47 D46:I46 E48 G48">
    <cfRule type="cellIs" dxfId="109" priority="155" operator="equal">
      <formula>$B$6</formula>
    </cfRule>
  </conditionalFormatting>
  <conditionalFormatting sqref="C7:W7 Z7:AD7 G37 A36:F36 J48 D47:I47">
    <cfRule type="cellIs" dxfId="108" priority="154" operator="equal">
      <formula>$B$7</formula>
    </cfRule>
  </conditionalFormatting>
  <conditionalFormatting sqref="C8:W8 O29:W29 Z8:AD8 G38 A37:F37 J49 D48 F48 H48:I48">
    <cfRule type="cellIs" dxfId="107" priority="153" operator="equal">
      <formula>$B$8</formula>
    </cfRule>
  </conditionalFormatting>
  <conditionalFormatting sqref="C9:W9 Z9:AD9 G39 A38:F38">
    <cfRule type="cellIs" dxfId="106" priority="152" operator="equal">
      <formula>128</formula>
    </cfRule>
  </conditionalFormatting>
  <conditionalFormatting sqref="C10:W10 Z10:AD10 A39:F39 D50:I50">
    <cfRule type="cellIs" dxfId="105" priority="151" operator="equal">
      <formula>$B$10</formula>
    </cfRule>
  </conditionalFormatting>
  <conditionalFormatting sqref="C11:W11 N30:V30 Z11:AD11 G41 A40:G40 D51:J51">
    <cfRule type="cellIs" dxfId="104" priority="150" operator="equal">
      <formula>$B$11</formula>
    </cfRule>
  </conditionalFormatting>
  <conditionalFormatting sqref="C12:W12 N31:V31 Z12:AD12 G42 A41:F41">
    <cfRule type="cellIs" dxfId="103" priority="149" operator="equal">
      <formula>5</formula>
    </cfRule>
  </conditionalFormatting>
  <conditionalFormatting sqref="C13:W13 N32:V32 Z13:AD13 G43:M43">
    <cfRule type="cellIs" dxfId="102" priority="148" operator="equal">
      <formula>$B$13</formula>
    </cfRule>
  </conditionalFormatting>
  <conditionalFormatting sqref="C16:W16 Z16:AC16 N35:U35">
    <cfRule type="cellIs" dxfId="101" priority="147" operator="equal">
      <formula>$B$16</formula>
    </cfRule>
  </conditionalFormatting>
  <conditionalFormatting sqref="C15:W15 Z15:AD15 AC16 N34:V34 AF15">
    <cfRule type="cellIs" dxfId="100" priority="146" operator="equal">
      <formula>100</formula>
    </cfRule>
  </conditionalFormatting>
  <conditionalFormatting sqref="C14:W14 N33:V33 Z14:AD14 AF14">
    <cfRule type="cellIs" dxfId="99" priority="145" operator="equal">
      <formula>$B$14</formula>
    </cfRule>
  </conditionalFormatting>
  <conditionalFormatting sqref="C17:W17">
    <cfRule type="cellIs" dxfId="98" priority="111" operator="lessThan">
      <formula>$B$17</formula>
    </cfRule>
    <cfRule type="cellIs" dxfId="97" priority="112" operator="greaterThan">
      <formula>$B$17</formula>
    </cfRule>
  </conditionalFormatting>
  <conditionalFormatting sqref="C18:W18">
    <cfRule type="cellIs" dxfId="96" priority="109" operator="greaterThan">
      <formula>$B$18</formula>
    </cfRule>
    <cfRule type="cellIs" dxfId="95" priority="110" operator="lessThan">
      <formula>$B$18</formula>
    </cfRule>
  </conditionalFormatting>
  <conditionalFormatting sqref="C19:W19">
    <cfRule type="cellIs" dxfId="94" priority="107" operator="lessThan">
      <formula>$B$19</formula>
    </cfRule>
    <cfRule type="cellIs" dxfId="93" priority="108" operator="greaterThan">
      <formula>$B$19</formula>
    </cfRule>
  </conditionalFormatting>
  <conditionalFormatting sqref="C20:W20">
    <cfRule type="cellIs" dxfId="92" priority="105" operator="lessThan">
      <formula>$B$20</formula>
    </cfRule>
    <cfRule type="cellIs" dxfId="91" priority="106" operator="greaterThan">
      <formula>$B$20</formula>
    </cfRule>
  </conditionalFormatting>
  <conditionalFormatting sqref="C21:W21">
    <cfRule type="cellIs" dxfId="90" priority="103" operator="lessThan">
      <formula>$B$21</formula>
    </cfRule>
    <cfRule type="cellIs" dxfId="89" priority="104" operator="greaterThan">
      <formula>$B$21</formula>
    </cfRule>
  </conditionalFormatting>
  <conditionalFormatting sqref="C22:W22">
    <cfRule type="cellIs" dxfId="88" priority="101" operator="greaterThan">
      <formula>$B$22</formula>
    </cfRule>
    <cfRule type="cellIs" dxfId="87" priority="102" operator="lessThan">
      <formula>$B$22</formula>
    </cfRule>
  </conditionalFormatting>
  <conditionalFormatting sqref="C23:W23">
    <cfRule type="cellIs" dxfId="86" priority="99" operator="greaterThan">
      <formula>$B$23</formula>
    </cfRule>
    <cfRule type="cellIs" dxfId="85" priority="100" operator="lessThan">
      <formula>$B$23</formula>
    </cfRule>
  </conditionalFormatting>
  <conditionalFormatting sqref="C24:W24">
    <cfRule type="cellIs" dxfId="84" priority="97" operator="greaterThan">
      <formula>$B$24</formula>
    </cfRule>
    <cfRule type="cellIs" dxfId="83" priority="98" operator="lessThan">
      <formula>$B$24</formula>
    </cfRule>
  </conditionalFormatting>
  <conditionalFormatting sqref="Z17:AB17">
    <cfRule type="cellIs" dxfId="82" priority="84" operator="lessThan">
      <formula>$B$17</formula>
    </cfRule>
    <cfRule type="cellIs" dxfId="81" priority="85" operator="greaterThan">
      <formula>$B$17</formula>
    </cfRule>
  </conditionalFormatting>
  <conditionalFormatting sqref="Z18:AB18">
    <cfRule type="cellIs" dxfId="80" priority="82" operator="greaterThan">
      <formula>$B$18</formula>
    </cfRule>
    <cfRule type="cellIs" dxfId="79" priority="83" operator="lessThan">
      <formula>$B$18</formula>
    </cfRule>
  </conditionalFormatting>
  <conditionalFormatting sqref="Z19:AB19">
    <cfRule type="cellIs" dxfId="78" priority="80" operator="lessThan">
      <formula>$B$19</formula>
    </cfRule>
    <cfRule type="cellIs" dxfId="77" priority="81" operator="greaterThan">
      <formula>$B$19</formula>
    </cfRule>
  </conditionalFormatting>
  <conditionalFormatting sqref="Z20:AB20">
    <cfRule type="cellIs" dxfId="76" priority="78" operator="lessThan">
      <formula>$B$20</formula>
    </cfRule>
    <cfRule type="cellIs" dxfId="75" priority="79" operator="greaterThan">
      <formula>$B$20</formula>
    </cfRule>
  </conditionalFormatting>
  <conditionalFormatting sqref="Z21:AB21">
    <cfRule type="cellIs" dxfId="74" priority="76" operator="lessThan">
      <formula>$B$21</formula>
    </cfRule>
    <cfRule type="cellIs" dxfId="73" priority="77" operator="greaterThan">
      <formula>$B$21</formula>
    </cfRule>
  </conditionalFormatting>
  <conditionalFormatting sqref="Z22:AB22">
    <cfRule type="cellIs" dxfId="72" priority="74" operator="greaterThan">
      <formula>$B$22</formula>
    </cfRule>
    <cfRule type="cellIs" dxfId="71" priority="75" operator="lessThan">
      <formula>$B$22</formula>
    </cfRule>
  </conditionalFormatting>
  <conditionalFormatting sqref="Z23:AB23">
    <cfRule type="cellIs" dxfId="70" priority="72" operator="greaterThan">
      <formula>$B$23</formula>
    </cfRule>
    <cfRule type="cellIs" dxfId="69" priority="73" operator="lessThan">
      <formula>$B$23</formula>
    </cfRule>
  </conditionalFormatting>
  <conditionalFormatting sqref="Z24:AB24">
    <cfRule type="cellIs" dxfId="68" priority="70" operator="greaterThan">
      <formula>$B$24</formula>
    </cfRule>
    <cfRule type="cellIs" dxfId="67" priority="71" operator="lessThan">
      <formula>$B$24</formula>
    </cfRule>
  </conditionalFormatting>
  <conditionalFormatting sqref="C25:W25">
    <cfRule type="cellIs" dxfId="66" priority="68" operator="lessThan">
      <formula>$B$25</formula>
    </cfRule>
    <cfRule type="cellIs" dxfId="65" priority="69" operator="greaterThan">
      <formula>$B$25</formula>
    </cfRule>
  </conditionalFormatting>
  <conditionalFormatting sqref="C26:W26">
    <cfRule type="cellIs" dxfId="64" priority="66" operator="lessThan">
      <formula>$B$26</formula>
    </cfRule>
    <cfRule type="cellIs" dxfId="63" priority="67" operator="greaterThan">
      <formula>$B$26</formula>
    </cfRule>
  </conditionalFormatting>
  <conditionalFormatting sqref="C27:W27">
    <cfRule type="cellIs" dxfId="62" priority="64" operator="lessThan">
      <formula>$B$27</formula>
    </cfRule>
    <cfRule type="cellIs" dxfId="61" priority="65" operator="greaterThan">
      <formula>$B$27</formula>
    </cfRule>
  </conditionalFormatting>
  <conditionalFormatting sqref="C28:W28">
    <cfRule type="cellIs" dxfId="60" priority="62" operator="lessThan">
      <formula>$B$28</formula>
    </cfRule>
    <cfRule type="cellIs" dxfId="59" priority="63" operator="greaterThan">
      <formula>$B$28</formula>
    </cfRule>
  </conditionalFormatting>
  <conditionalFormatting sqref="AD6">
    <cfRule type="cellIs" dxfId="58" priority="61" operator="equal">
      <formula>$B$6</formula>
    </cfRule>
  </conditionalFormatting>
  <conditionalFormatting sqref="AD7">
    <cfRule type="cellIs" dxfId="57" priority="60" operator="equal">
      <formula>$B$7</formula>
    </cfRule>
  </conditionalFormatting>
  <conditionalFormatting sqref="AD8">
    <cfRule type="cellIs" dxfId="56" priority="59" operator="equal">
      <formula>$B$8</formula>
    </cfRule>
  </conditionalFormatting>
  <conditionalFormatting sqref="AD9">
    <cfRule type="cellIs" dxfId="55" priority="58" operator="equal">
      <formula>128</formula>
    </cfRule>
  </conditionalFormatting>
  <conditionalFormatting sqref="AD10">
    <cfRule type="cellIs" dxfId="54" priority="57" operator="equal">
      <formula>$B$10</formula>
    </cfRule>
  </conditionalFormatting>
  <conditionalFormatting sqref="AD11">
    <cfRule type="cellIs" dxfId="53" priority="56" operator="equal">
      <formula>$B$11</formula>
    </cfRule>
  </conditionalFormatting>
  <conditionalFormatting sqref="AD12">
    <cfRule type="cellIs" dxfId="52" priority="55" operator="equal">
      <formula>5</formula>
    </cfRule>
  </conditionalFormatting>
  <conditionalFormatting sqref="AD13">
    <cfRule type="cellIs" dxfId="51" priority="54" operator="equal">
      <formula>$B$13</formula>
    </cfRule>
  </conditionalFormatting>
  <conditionalFormatting sqref="AD16">
    <cfRule type="cellIs" dxfId="50" priority="53" operator="equal">
      <formula>$B$16</formula>
    </cfRule>
  </conditionalFormatting>
  <conditionalFormatting sqref="AD15">
    <cfRule type="cellIs" dxfId="49" priority="52" operator="equal">
      <formula>100</formula>
    </cfRule>
  </conditionalFormatting>
  <conditionalFormatting sqref="AD14">
    <cfRule type="cellIs" dxfId="48" priority="51" operator="equal">
      <formula>$B$14</formula>
    </cfRule>
  </conditionalFormatting>
  <conditionalFormatting sqref="AE6">
    <cfRule type="cellIs" dxfId="47" priority="50" operator="equal">
      <formula>$B$6</formula>
    </cfRule>
  </conditionalFormatting>
  <conditionalFormatting sqref="AE7">
    <cfRule type="cellIs" dxfId="46" priority="49" operator="equal">
      <formula>$B$7</formula>
    </cfRule>
  </conditionalFormatting>
  <conditionalFormatting sqref="AE8">
    <cfRule type="cellIs" dxfId="45" priority="48" operator="equal">
      <formula>$B$8</formula>
    </cfRule>
  </conditionalFormatting>
  <conditionalFormatting sqref="AE9">
    <cfRule type="cellIs" dxfId="44" priority="47" operator="equal">
      <formula>128</formula>
    </cfRule>
  </conditionalFormatting>
  <conditionalFormatting sqref="AE10">
    <cfRule type="cellIs" dxfId="43" priority="46" operator="equal">
      <formula>$B$10</formula>
    </cfRule>
  </conditionalFormatting>
  <conditionalFormatting sqref="AE11">
    <cfRule type="cellIs" dxfId="42" priority="45" operator="equal">
      <formula>$B$11</formula>
    </cfRule>
  </conditionalFormatting>
  <conditionalFormatting sqref="AE12">
    <cfRule type="cellIs" dxfId="41" priority="44" operator="equal">
      <formula>5</formula>
    </cfRule>
  </conditionalFormatting>
  <conditionalFormatting sqref="AE13">
    <cfRule type="cellIs" dxfId="40" priority="43" operator="equal">
      <formula>$B$13</formula>
    </cfRule>
  </conditionalFormatting>
  <conditionalFormatting sqref="AE15">
    <cfRule type="cellIs" dxfId="39" priority="42" operator="equal">
      <formula>100</formula>
    </cfRule>
  </conditionalFormatting>
  <conditionalFormatting sqref="AE14">
    <cfRule type="cellIs" dxfId="38" priority="41" operator="equal">
      <formula>$B$14</formula>
    </cfRule>
  </conditionalFormatting>
  <conditionalFormatting sqref="AE6">
    <cfRule type="cellIs" dxfId="37" priority="40" operator="equal">
      <formula>$B$6</formula>
    </cfRule>
  </conditionalFormatting>
  <conditionalFormatting sqref="AE7">
    <cfRule type="cellIs" dxfId="36" priority="39" operator="equal">
      <formula>$B$7</formula>
    </cfRule>
  </conditionalFormatting>
  <conditionalFormatting sqref="AE8">
    <cfRule type="cellIs" dxfId="35" priority="38" operator="equal">
      <formula>$B$8</formula>
    </cfRule>
  </conditionalFormatting>
  <conditionalFormatting sqref="AE9">
    <cfRule type="cellIs" dxfId="34" priority="37" operator="equal">
      <formula>128</formula>
    </cfRule>
  </conditionalFormatting>
  <conditionalFormatting sqref="AE10">
    <cfRule type="cellIs" dxfId="33" priority="36" operator="equal">
      <formula>$B$10</formula>
    </cfRule>
  </conditionalFormatting>
  <conditionalFormatting sqref="AE11">
    <cfRule type="cellIs" dxfId="32" priority="35" operator="equal">
      <formula>$B$11</formula>
    </cfRule>
  </conditionalFormatting>
  <conditionalFormatting sqref="AE12">
    <cfRule type="cellIs" dxfId="31" priority="34" operator="equal">
      <formula>5</formula>
    </cfRule>
  </conditionalFormatting>
  <conditionalFormatting sqref="AE13">
    <cfRule type="cellIs" dxfId="30" priority="33" operator="equal">
      <formula>$B$13</formula>
    </cfRule>
  </conditionalFormatting>
  <conditionalFormatting sqref="AE16">
    <cfRule type="cellIs" dxfId="29" priority="32" operator="equal">
      <formula>$B$16</formula>
    </cfRule>
  </conditionalFormatting>
  <conditionalFormatting sqref="AE15">
    <cfRule type="cellIs" dxfId="28" priority="31" operator="equal">
      <formula>100</formula>
    </cfRule>
  </conditionalFormatting>
  <conditionalFormatting sqref="AE14">
    <cfRule type="cellIs" dxfId="27" priority="30" operator="equal">
      <formula>$B$14</formula>
    </cfRule>
  </conditionalFormatting>
  <conditionalFormatting sqref="AD17:AE17">
    <cfRule type="cellIs" dxfId="26" priority="28" operator="lessThan">
      <formula>$B$17</formula>
    </cfRule>
    <cfRule type="cellIs" dxfId="25" priority="29" operator="greaterThan">
      <formula>$B$17</formula>
    </cfRule>
  </conditionalFormatting>
  <conditionalFormatting sqref="AD18:AE18">
    <cfRule type="cellIs" dxfId="24" priority="26" operator="lessThan">
      <formula>$B$18</formula>
    </cfRule>
    <cfRule type="cellIs" dxfId="23" priority="27" operator="greaterThan">
      <formula>$B$18</formula>
    </cfRule>
  </conditionalFormatting>
  <conditionalFormatting sqref="AD19:AE19">
    <cfRule type="cellIs" dxfId="22" priority="24" operator="lessThan">
      <formula>$B$19</formula>
    </cfRule>
    <cfRule type="cellIs" dxfId="21" priority="25" operator="greaterThan">
      <formula>$B$19</formula>
    </cfRule>
  </conditionalFormatting>
  <conditionalFormatting sqref="AD20:AE20">
    <cfRule type="cellIs" dxfId="20" priority="22" operator="lessThan">
      <formula>$B$20</formula>
    </cfRule>
    <cfRule type="cellIs" dxfId="19" priority="23" operator="greaterThan">
      <formula>$B$20</formula>
    </cfRule>
  </conditionalFormatting>
  <conditionalFormatting sqref="AD25:AE25">
    <cfRule type="cellIs" dxfId="18" priority="20" operator="lessThan">
      <formula>$B$25</formula>
    </cfRule>
    <cfRule type="cellIs" dxfId="17" priority="21" operator="greaterThan">
      <formula>$B$25</formula>
    </cfRule>
  </conditionalFormatting>
  <conditionalFormatting sqref="AD26:AE26">
    <cfRule type="cellIs" dxfId="16" priority="18" operator="greaterThan">
      <formula>$B$26</formula>
    </cfRule>
    <cfRule type="cellIs" dxfId="15" priority="19" operator="lessThan">
      <formula>$B$26</formula>
    </cfRule>
  </conditionalFormatting>
  <conditionalFormatting sqref="AD27:AE27">
    <cfRule type="cellIs" dxfId="14" priority="16" operator="lessThan">
      <formula>$B$27</formula>
    </cfRule>
    <cfRule type="cellIs" dxfId="13" priority="17" operator="greaterThan">
      <formula>$B$27</formula>
    </cfRule>
  </conditionalFormatting>
  <conditionalFormatting sqref="AD28:AE28">
    <cfRule type="cellIs" dxfId="12" priority="14" operator="lessThan">
      <formula>$B$28</formula>
    </cfRule>
    <cfRule type="cellIs" dxfId="11" priority="15" operator="greaterThan">
      <formula>$B$28</formula>
    </cfRule>
  </conditionalFormatting>
  <conditionalFormatting sqref="J50 D49:I49">
    <cfRule type="cellIs" dxfId="10" priority="9" operator="equal">
      <formula>128</formula>
    </cfRule>
  </conditionalFormatting>
  <conditionalFormatting sqref="J35 J37">
    <cfRule type="cellIs" dxfId="4" priority="5" operator="equal">
      <formula>$B$6</formula>
    </cfRule>
  </conditionalFormatting>
  <conditionalFormatting sqref="J36">
    <cfRule type="cellIs" dxfId="3" priority="4" operator="equal">
      <formula>$B$7</formula>
    </cfRule>
  </conditionalFormatting>
  <conditionalFormatting sqref="J39">
    <cfRule type="cellIs" dxfId="2" priority="3" operator="equal">
      <formula>$B$10</formula>
    </cfRule>
  </conditionalFormatting>
  <conditionalFormatting sqref="J40">
    <cfRule type="cellIs" dxfId="1" priority="2" operator="equal">
      <formula>$B$11</formula>
    </cfRule>
  </conditionalFormatting>
  <conditionalFormatting sqref="J38">
    <cfRule type="cellIs" dxfId="0" priority="1" operator="equal">
      <formula>128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Dude Dudeovich</dc:creator>
  <cp:lastModifiedBy>Dude Dudeovich</cp:lastModifiedBy>
  <dcterms:created xsi:type="dcterms:W3CDTF">2026-05-31T09:06:27Z</dcterms:created>
  <dcterms:modified xsi:type="dcterms:W3CDTF">2026-06-04T01:20:57Z</dcterms:modified>
</cp:coreProperties>
</file>